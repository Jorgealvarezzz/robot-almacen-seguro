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2f7a39cec253d7/Desktop/CIDRIA_PROJECT/Catedras/Global University/Asignaturas/Arquitectura de computadoras/EVALUACION FINAL/"/>
    </mc:Choice>
  </mc:AlternateContent>
  <xr:revisionPtr revIDLastSave="81" documentId="8_{6C6D9ACF-C903-4511-B5B6-CFB8CFC9B349}" xr6:coauthVersionLast="47" xr6:coauthVersionMax="47" xr10:uidLastSave="{44386B98-D33C-45CF-B944-BCD990B4E123}"/>
  <bookViews>
    <workbookView xWindow="-110" yWindow="-110" windowWidth="19420" windowHeight="11500" xr2:uid="{9B2DE09F-3C9F-4017-B5CD-664237F8E476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H7" i="1" s="1"/>
  <c r="G6" i="1"/>
  <c r="H6" i="1" s="1"/>
  <c r="G5" i="1"/>
  <c r="H5" i="1" s="1"/>
  <c r="G4" i="1"/>
  <c r="H4" i="1" s="1"/>
  <c r="G3" i="1"/>
  <c r="H3" i="1" s="1"/>
  <c r="H2" i="1"/>
  <c r="G2" i="1"/>
</calcChain>
</file>

<file path=xl/sharedStrings.xml><?xml version="1.0" encoding="utf-8"?>
<sst xmlns="http://schemas.openxmlformats.org/spreadsheetml/2006/main" count="27" uniqueCount="27">
  <si>
    <t>ID</t>
  </si>
  <si>
    <t>Nombre</t>
  </si>
  <si>
    <t>GU24IA0016</t>
  </si>
  <si>
    <t>ALVAREZ CASTRO, JORGE IVAN</t>
  </si>
  <si>
    <t>GU24IA0022</t>
  </si>
  <si>
    <t>CASTAÑEDA RUIZ, AARON SALVADOR</t>
  </si>
  <si>
    <t>GU24IA0021</t>
  </si>
  <si>
    <t>GONZALEZ MACIAS, JUAN CARLOS</t>
  </si>
  <si>
    <t>GU25IE0009</t>
  </si>
  <si>
    <t>ROBLEDO ESPARZA, JULIA</t>
  </si>
  <si>
    <t>GU25IE0002</t>
  </si>
  <si>
    <t>SANCHEZ AGUILERA, MARIA JOSE</t>
  </si>
  <si>
    <t>GU24IA0015</t>
  </si>
  <si>
    <t>SILVA MONTIEL, RENATA ANGELINA</t>
  </si>
  <si>
    <t>Videos (10)</t>
  </si>
  <si>
    <t>Laboratorios (10)</t>
  </si>
  <si>
    <t>Total</t>
  </si>
  <si>
    <t>Certificación (20)</t>
  </si>
  <si>
    <t>Usuario GIT</t>
  </si>
  <si>
    <t>Aaron</t>
  </si>
  <si>
    <t>Julia</t>
  </si>
  <si>
    <t>Carlos</t>
  </si>
  <si>
    <t>Majo</t>
  </si>
  <si>
    <t>gu24ia0015-alt</t>
  </si>
  <si>
    <t>Calificacion Exámen (60)</t>
  </si>
  <si>
    <t>Jorgealvarezzz</t>
  </si>
  <si>
    <t>Puntos 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</si>
</sst>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212529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0" fillId="0" borderId="0" xfId="0" quotePrefix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medium">
          <color rgb="FFDEE2E6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medium">
          <color rgb="FFDEE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medium">
          <color rgb="FFDEE2E6"/>
        </top>
        <bottom/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0F4BA-B92D-4CC6-B282-558BF0B88EE5}" name="Tabla1" displayName="Tabla1" ref="A1:I7" totalsRowShown="0" headerRowDxfId="0" dataDxfId="10">
  <autoFilter ref="A1:I7" xr:uid="{AC30F4BA-B92D-4CC6-B282-558BF0B88EE5}"/>
  <tableColumns count="9">
    <tableColumn id="1" xr3:uid="{0BA48C56-56A4-4C72-8B81-44FFF1E263A2}" name="ID" dataDxfId="9"/>
    <tableColumn id="2" xr3:uid="{B8EC5740-AEA6-4383-AC02-B79F41E700CC}" name="Nombre" dataDxfId="8"/>
    <tableColumn id="3" xr3:uid="{2FE79111-C5D7-4F88-BC6D-82AEDB1FD379}" name="Videos (10)" dataDxfId="7"/>
    <tableColumn id="4" xr3:uid="{E12D33B6-4E05-44E6-9DEE-5D1AB89A62E1}" name="Laboratorios (10)" dataDxfId="6"/>
    <tableColumn id="5" xr3:uid="{BB64AC2C-221D-4DCE-A0BC-77148A474D9A}" name="Certificación (20)" dataDxfId="5"/>
    <tableColumn id="9" xr3:uid="{7615A872-3B93-4509-9002-4B101305CA1E}" name="Puntos Examen" dataDxfId="1"/>
    <tableColumn id="6" xr3:uid="{AC801727-8066-4DC9-9B4E-632645F7E942}" name="Calificacion Exámen (60)" dataDxfId="4"/>
    <tableColumn id="7" xr3:uid="{0DA8B81B-8881-475E-B7B2-02AD4672DFF2}" name="Total" dataDxfId="3"/>
    <tableColumn id="8" xr3:uid="{E7436F23-AC1E-41A1-902A-1F36B2223370}" name="Usuario GI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76E8-62F8-4DAD-8E1E-6D1D92FCBF1B}">
  <dimension ref="A1:I7"/>
  <sheetViews>
    <sheetView tabSelected="1" workbookViewId="0">
      <selection activeCell="D12" sqref="D12"/>
    </sheetView>
  </sheetViews>
  <sheetFormatPr baseColWidth="10" defaultRowHeight="14.5" x14ac:dyDescent="0.35"/>
  <cols>
    <col min="1" max="1" width="12.90625" customWidth="1"/>
    <col min="2" max="2" width="33.6328125" customWidth="1"/>
    <col min="3" max="3" width="15" bestFit="1" customWidth="1"/>
    <col min="4" max="5" width="20.08984375" bestFit="1" customWidth="1"/>
    <col min="6" max="6" width="10.90625" customWidth="1"/>
    <col min="7" max="7" width="15.90625" customWidth="1"/>
    <col min="9" max="9" width="13.08984375" bestFit="1" customWidth="1"/>
  </cols>
  <sheetData>
    <row r="1" spans="1:9" ht="34.5" customHeight="1" thickBot="1" x14ac:dyDescent="0.4">
      <c r="A1" s="4" t="s">
        <v>0</v>
      </c>
      <c r="B1" s="4" t="s">
        <v>1</v>
      </c>
      <c r="C1" s="5" t="s">
        <v>14</v>
      </c>
      <c r="D1" s="5" t="s">
        <v>15</v>
      </c>
      <c r="E1" s="5" t="s">
        <v>17</v>
      </c>
      <c r="F1" s="5" t="s">
        <v>26</v>
      </c>
      <c r="G1" s="5" t="s">
        <v>24</v>
      </c>
      <c r="H1" s="5" t="s">
        <v>16</v>
      </c>
      <c r="I1" s="4" t="s">
        <v>18</v>
      </c>
    </row>
    <row r="2" spans="1:9" ht="15" thickBot="1" x14ac:dyDescent="0.4">
      <c r="A2" s="2" t="s">
        <v>2</v>
      </c>
      <c r="B2" s="2" t="s">
        <v>3</v>
      </c>
      <c r="C2" s="2">
        <v>10</v>
      </c>
      <c r="D2" s="2">
        <v>10</v>
      </c>
      <c r="E2" s="1">
        <v>20</v>
      </c>
      <c r="F2" s="1">
        <v>100</v>
      </c>
      <c r="G2" s="1">
        <f>(60/100)*Tabla1[[#This Row],[Puntos Examen]]</f>
        <v>60</v>
      </c>
      <c r="H2">
        <f>Tabla1[[#This Row],[Videos (10)]]+Tabla1[[#This Row],[Laboratorios (10)]]+Tabla1[[#This Row],[Certificación (20)]]+Tabla1[[#This Row],[Calificacion Exámen (60)]]</f>
        <v>100</v>
      </c>
      <c r="I2" s="3" t="s">
        <v>25</v>
      </c>
    </row>
    <row r="3" spans="1:9" ht="15" thickBot="1" x14ac:dyDescent="0.4">
      <c r="A3" s="2" t="s">
        <v>4</v>
      </c>
      <c r="B3" s="2" t="s">
        <v>5</v>
      </c>
      <c r="C3" s="2">
        <v>10</v>
      </c>
      <c r="D3" s="2">
        <v>10</v>
      </c>
      <c r="E3" s="1">
        <v>20</v>
      </c>
      <c r="F3" s="1">
        <v>100</v>
      </c>
      <c r="G3" s="1">
        <f>(60/100)*Tabla1[[#This Row],[Puntos Examen]]</f>
        <v>60</v>
      </c>
      <c r="H3">
        <f>Tabla1[[#This Row],[Videos (10)]]+Tabla1[[#This Row],[Laboratorios (10)]]+Tabla1[[#This Row],[Certificación (20)]]+Tabla1[[#This Row],[Calificacion Exámen (60)]]</f>
        <v>100</v>
      </c>
      <c r="I3" t="s">
        <v>19</v>
      </c>
    </row>
    <row r="4" spans="1:9" ht="15" thickBot="1" x14ac:dyDescent="0.4">
      <c r="A4" s="2" t="s">
        <v>6</v>
      </c>
      <c r="B4" s="2" t="s">
        <v>7</v>
      </c>
      <c r="C4" s="2">
        <v>10</v>
      </c>
      <c r="D4" s="2">
        <v>10</v>
      </c>
      <c r="E4" s="1">
        <v>20</v>
      </c>
      <c r="F4" s="1">
        <v>100</v>
      </c>
      <c r="G4" s="1">
        <f>(60/100)*Tabla1[[#This Row],[Puntos Examen]]</f>
        <v>60</v>
      </c>
      <c r="H4">
        <f>Tabla1[[#This Row],[Videos (10)]]+Tabla1[[#This Row],[Laboratorios (10)]]+Tabla1[[#This Row],[Certificación (20)]]+Tabla1[[#This Row],[Calificacion Exámen (60)]]</f>
        <v>100</v>
      </c>
      <c r="I4" s="6" t="s">
        <v>21</v>
      </c>
    </row>
    <row r="5" spans="1:9" ht="15" thickBot="1" x14ac:dyDescent="0.4">
      <c r="A5" s="2" t="s">
        <v>8</v>
      </c>
      <c r="B5" s="2" t="s">
        <v>9</v>
      </c>
      <c r="C5" s="2">
        <v>10</v>
      </c>
      <c r="D5" s="2">
        <v>10</v>
      </c>
      <c r="E5" s="1">
        <v>20</v>
      </c>
      <c r="F5" s="1">
        <v>86</v>
      </c>
      <c r="G5" s="1">
        <f>(60/100)*Tabla1[[#This Row],[Puntos Examen]]</f>
        <v>51.6</v>
      </c>
      <c r="H5">
        <f>Tabla1[[#This Row],[Videos (10)]]+Tabla1[[#This Row],[Laboratorios (10)]]+Tabla1[[#This Row],[Certificación (20)]]+Tabla1[[#This Row],[Calificacion Exámen (60)]]</f>
        <v>91.6</v>
      </c>
      <c r="I5" t="s">
        <v>20</v>
      </c>
    </row>
    <row r="6" spans="1:9" ht="15" thickBot="1" x14ac:dyDescent="0.4">
      <c r="A6" s="2" t="s">
        <v>10</v>
      </c>
      <c r="B6" s="2" t="s">
        <v>11</v>
      </c>
      <c r="C6" s="2">
        <v>10</v>
      </c>
      <c r="D6" s="2">
        <v>10</v>
      </c>
      <c r="E6" s="1">
        <v>20</v>
      </c>
      <c r="F6" s="1">
        <v>86</v>
      </c>
      <c r="G6" s="1">
        <f>(60/100)*Tabla1[[#This Row],[Puntos Examen]]</f>
        <v>51.6</v>
      </c>
      <c r="H6">
        <f>Tabla1[[#This Row],[Videos (10)]]+Tabla1[[#This Row],[Laboratorios (10)]]+Tabla1[[#This Row],[Certificación (20)]]+Tabla1[[#This Row],[Calificacion Exámen (60)]]</f>
        <v>91.6</v>
      </c>
      <c r="I6" t="s">
        <v>22</v>
      </c>
    </row>
    <row r="7" spans="1:9" x14ac:dyDescent="0.35">
      <c r="A7" s="2" t="s">
        <v>12</v>
      </c>
      <c r="B7" s="2" t="s">
        <v>13</v>
      </c>
      <c r="C7" s="2">
        <v>10</v>
      </c>
      <c r="D7" s="2">
        <v>10</v>
      </c>
      <c r="E7" s="1">
        <v>20</v>
      </c>
      <c r="F7" s="1">
        <v>86</v>
      </c>
      <c r="G7" s="1">
        <f>(60/100)*Tabla1[[#This Row],[Puntos Examen]]</f>
        <v>51.6</v>
      </c>
      <c r="H7">
        <f>Tabla1[[#This Row],[Videos (10)]]+Tabla1[[#This Row],[Laboratorios (10)]]+Tabla1[[#This Row],[Certificación (20)]]+Tabla1[[#This Row],[Calificacion Exámen (60)]]</f>
        <v>91.6</v>
      </c>
      <c r="I7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Velazquez</dc:creator>
  <cp:lastModifiedBy>Omar Velazquez</cp:lastModifiedBy>
  <dcterms:created xsi:type="dcterms:W3CDTF">2026-04-17T22:11:46Z</dcterms:created>
  <dcterms:modified xsi:type="dcterms:W3CDTF">2026-04-19T18:27:23Z</dcterms:modified>
</cp:coreProperties>
</file>